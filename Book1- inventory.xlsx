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02DEE3F-643B-4C80-870E-AED38B53E796}" xr6:coauthVersionLast="47" xr6:coauthVersionMax="47" xr10:uidLastSave="{00000000-0000-0000-0000-000000000000}"/>
  <bookViews>
    <workbookView xWindow="-108" yWindow="-108" windowWidth="23256" windowHeight="14616" xr2:uid="{1C498F21-FFFF-40DD-B89A-CB61F3C92698}"/>
  </bookViews>
  <sheets>
    <sheet name="Sheet1" sheetId="1" r:id="rId1"/>
  </sheets>
  <definedNames>
    <definedName name="SKUOptions">OFFSET(Sheet1!$Z$2,0,0,COUNTA(Sheet1!$Z:$Z)-1,1)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" i="1" l="1" a="1"/>
  <c r="AO2" i="1" a="1"/>
  <c r="AM2" i="1" a="1"/>
  <c r="AK2" i="1" a="1"/>
  <c r="AI2" i="1" a="1"/>
  <c r="AG2" i="1" a="1"/>
  <c r="AE2" i="1" a="1"/>
  <c r="AC2" i="1" a="1"/>
  <c r="A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<sst xmlns="http://schemas.openxmlformats.org/spreadsheetml/2006/main" count="193" uniqueCount="80">
  <si>
    <t>Product SKU / Size</t>
  </si>
  <si>
    <t>Warehouse</t>
  </si>
  <si>
    <t>Location / Rack</t>
  </si>
  <si>
    <t>Type</t>
  </si>
  <si>
    <t>Quantity</t>
  </si>
  <si>
    <t>Lot Number</t>
  </si>
  <si>
    <t>Goods From</t>
  </si>
  <si>
    <t>Purchase Date</t>
  </si>
  <si>
    <t>Purchase Reference</t>
  </si>
  <si>
    <t>Grade</t>
  </si>
  <si>
    <t>Thread</t>
  </si>
  <si>
    <t>Inner Diameter</t>
  </si>
  <si>
    <t>Outer Diameter</t>
  </si>
  <si>
    <t>Thickness</t>
  </si>
  <si>
    <t>Finish</t>
  </si>
  <si>
    <t>Category</t>
  </si>
  <si>
    <t>Custom Spec 1</t>
  </si>
  <si>
    <t>Hide Spec 1</t>
  </si>
  <si>
    <t>Custom Spec 2</t>
  </si>
  <si>
    <t>Hide Spec 2</t>
  </si>
  <si>
    <t>Custom Spec 3</t>
  </si>
  <si>
    <t>Hide Spec 3</t>
  </si>
  <si>
    <t>Remarks</t>
  </si>
  <si>
    <t>IN</t>
  </si>
  <si>
    <t>Half</t>
  </si>
  <si>
    <t>HDG</t>
  </si>
  <si>
    <t>New</t>
  </si>
  <si>
    <t>No</t>
  </si>
  <si>
    <t>Initial Stock</t>
  </si>
  <si>
    <t>New Batch</t>
  </si>
  <si>
    <t>Full</t>
  </si>
  <si>
    <t>Acid</t>
  </si>
  <si>
    <t>Imported</t>
  </si>
  <si>
    <t>Imported Stock</t>
  </si>
  <si>
    <t>Warehouse Transfer</t>
  </si>
  <si>
    <t>MADEENA MAIN</t>
  </si>
  <si>
    <t>BAY 1</t>
  </si>
  <si>
    <t xml:space="preserve">Purchase Rate </t>
  </si>
  <si>
    <t>M20/70</t>
  </si>
  <si>
    <t>M20/75</t>
  </si>
  <si>
    <t>M20/85</t>
  </si>
  <si>
    <t>M20/100</t>
  </si>
  <si>
    <t>M24/120</t>
  </si>
  <si>
    <t>M24/85</t>
  </si>
  <si>
    <t>M16/45</t>
  </si>
  <si>
    <t>BAY 2</t>
  </si>
  <si>
    <t>SPL</t>
  </si>
  <si>
    <t>AF</t>
  </si>
  <si>
    <t>BRK</t>
  </si>
  <si>
    <t>TFIT</t>
  </si>
  <si>
    <t>FULL</t>
  </si>
  <si>
    <t>TL :25</t>
  </si>
  <si>
    <t>TL : 35</t>
  </si>
  <si>
    <t>TL :50</t>
  </si>
  <si>
    <t>TL :30</t>
  </si>
  <si>
    <t>TL : 30</t>
  </si>
  <si>
    <t>M20/100-B</t>
  </si>
  <si>
    <t>M24-PW</t>
  </si>
  <si>
    <t>SKU Dropdown List</t>
  </si>
  <si>
    <t>M20/100-W</t>
  </si>
  <si>
    <t>M15/50</t>
  </si>
  <si>
    <t>Active SKU Options</t>
  </si>
  <si>
    <t>Warehouse Dropdown List</t>
  </si>
  <si>
    <t>Active Warehouse Options</t>
  </si>
  <si>
    <t>Location Dropdown List</t>
  </si>
  <si>
    <t>Active Location Options</t>
  </si>
  <si>
    <t>Type Dropdown List</t>
  </si>
  <si>
    <t>OUT</t>
  </si>
  <si>
    <t>Active Type Options</t>
  </si>
  <si>
    <t>Thread Dropdown List</t>
  </si>
  <si>
    <t>Active Thread Options</t>
  </si>
  <si>
    <t>Grade Dropdown List</t>
  </si>
  <si>
    <t>Active Grade Options</t>
  </si>
  <si>
    <t>Finish Dropdown List</t>
  </si>
  <si>
    <t>Active Finish Options</t>
  </si>
  <si>
    <t>Category Dropdown List</t>
  </si>
  <si>
    <t>Active Category Options</t>
  </si>
  <si>
    <t>Hide Spec Dropdown List</t>
  </si>
  <si>
    <t>Yes</t>
  </si>
  <si>
    <t>Active Hide Spec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</si>
</sst>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0FCBBD-E32C-4F67-9529-DB9CC47FB7EB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4F-sZYF5R6lLEdg7vEPTg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3009-AE6C-425E-895A-012DE647B662}">
  <dimension ref="A1:AQ18"/>
  <sheetViews>
    <sheetView tabSelected="1" zoomScale="93" workbookViewId="0">
      <selection activeCell="C14" sqref="C14"/>
    </sheetView>
  </sheetViews>
  <sheetFormatPr defaultRowHeight="14.4" x14ac:dyDescent="0.3"/>
  <cols>
    <col min="1" max="1" width="21" customWidth="1"/>
    <col min="2" max="2" width="23.33203125" customWidth="1"/>
    <col min="3" max="3" width="12.33203125" customWidth="1"/>
    <col min="8" max="8" width="10.33203125" bestFit="1" customWidth="1"/>
    <col min="26" max="43" width="0" hidden="1" customWidth="1"/>
  </cols>
  <sheetData>
    <row r="1" spans="1:43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37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Z1" t="s">
        <v>58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79</v>
      </c>
    </row>
    <row r="2" spans="1:43" ht="28.8" x14ac:dyDescent="0.3">
      <c r="A2" s="4" t="s">
        <v>38</v>
      </c>
      <c r="B2" s="4" t="s">
        <v>35</v>
      </c>
      <c r="C2" s="4" t="s">
        <v>36</v>
      </c>
      <c r="D2" s="4" t="s">
        <v>23</v>
      </c>
      <c r="E2" s="2">
        <v>50</v>
      </c>
      <c r="F2" s="4">
        <v>18</v>
      </c>
      <c r="G2" s="4" t="s">
        <v>46</v>
      </c>
      <c r="H2" s="5"/>
      <c r="I2" s="2"/>
      <c r="J2" s="4"/>
      <c r="K2" s="4">
        <v>5.6</v>
      </c>
      <c r="L2" s="4" t="s">
        <v>24</v>
      </c>
      <c r="M2" s="4"/>
      <c r="N2" s="4"/>
      <c r="O2" s="4"/>
      <c r="P2" s="4" t="s">
        <v>25</v>
      </c>
      <c r="Q2" s="4" t="s">
        <v>26</v>
      </c>
      <c r="R2" s="4" t="s">
        <v>51</v>
      </c>
      <c r="S2" s="4" t="s">
        <v>27</v>
      </c>
      <c r="T2" s="4"/>
      <c r="U2" s="4"/>
      <c r="V2" s="4"/>
      <c r="W2" s="4"/>
      <c r="X2" s="4" t="s">
        <v>28</v>
      </c>
      <c r="Z2" t="s">
        <v>38</v>
      </c>
      <c r="AA2" t="str" cm="1">
        <f t="array" ref="AA2:AA13">_xlfn._xlws.SORT(_xlfn.UNIQUE(_xlfn.VSTACK($Z$2:$Z$5000,_xlfn._xlws.FILTER($A$2:$A$5000,$A$2:$A$5000&lt;&gt;""))))</f>
        <v>M15/50</v>
      </c>
      <c r="AB2" t="s">
        <v>35</v>
      </c>
      <c r="AC2" t="str" cm="1">
        <f t="array" ref="AC2:AC3">_xlfn._xlws.SORT(_xlfn.UNIQUE(_xlfn.VSTACK($AB$2:$AB$5000,_xlfn._xlws.FILTER($B$2:$B$5000,$B$2:$B$5000&lt;&gt;""))))</f>
        <v>MADEENA MAIN</v>
      </c>
      <c r="AD2" t="s">
        <v>36</v>
      </c>
      <c r="AE2" t="str" cm="1">
        <f t="array" ref="AE2:AE4">_xlfn._xlws.SORT(_xlfn.UNIQUE(_xlfn.VSTACK($AD$2:$AD$5000,_xlfn._xlws.FILTER($C$2:$C$5000,$C$2:$C$5000&lt;&gt;""))))</f>
        <v>BAY 1</v>
      </c>
      <c r="AF2" t="s">
        <v>23</v>
      </c>
      <c r="AG2" t="str" cm="1">
        <f t="array" ref="AG2:AG4">_xlfn._xlws.SORT(_xlfn.UNIQUE(_xlfn.VSTACK($AF$2:$AF$5000,_xlfn._xlws.FILTER($D$2:$D$5000,$D$2:$D$5000&lt;&gt;""))))</f>
        <v>IN</v>
      </c>
      <c r="AH2" t="s">
        <v>24</v>
      </c>
      <c r="AI2" t="str" cm="1">
        <f t="array" ref="AI2:AI4">_xlfn._xlws.SORT(_xlfn.UNIQUE(_xlfn.VSTACK($AH$2:$AH$5000,_xlfn._xlws.FILTER($L$2:$L$5000,$L$2:$L$5000&lt;&gt;""))))</f>
        <v>Full</v>
      </c>
      <c r="AJ2">
        <v>5.6</v>
      </c>
      <c r="AK2" cm="1">
        <f t="array" ref="AK2:AK6">_xlfn._xlws.SORT(_xlfn.UNIQUE(_xlfn.VSTACK($AJ$2:$AJ$5000,_xlfn._xlws.FILTER($K$2:$K$5000,$K$2:$K$5000&lt;&gt;""))))</f>
        <v>5.6</v>
      </c>
      <c r="AL2" t="s">
        <v>25</v>
      </c>
      <c r="AM2" t="str" cm="1">
        <f t="array" ref="AM2:AM3">_xlfn._xlws.SORT(_xlfn.UNIQUE(_xlfn.VSTACK($AL$2:$AL$5000,_xlfn._xlws.FILTER($P$2:$P$5000,$P$2:$P$5000&lt;&gt;""))))</f>
        <v>HDG</v>
      </c>
      <c r="AN2" t="s">
        <v>26</v>
      </c>
      <c r="AO2" t="str" cm="1">
        <f t="array" ref="AO2:AO4">_xlfn._xlws.SORT(_xlfn.UNIQUE(_xlfn.VSTACK($AN$2:$AN$5000,_xlfn._xlws.FILTER($Q$2:$Q$5000,$Q$2:$Q$5000&lt;&gt;""))))</f>
        <v>Acid</v>
      </c>
      <c r="AP2" t="s">
        <v>78</v>
      </c>
      <c r="AQ2" t="str" cm="1">
        <f t="array" ref="AQ2:AQ4">_xlfn._xlws.SORT(_xlfn.UNIQUE(_xlfn.VSTACK($AP$2:$AP$5000,_xlfn._xlws.FILTER(_xlfn.VSTACK($S$2:$S$5000,$U$2:$U$5000,$W$2:$W$5000),_xlfn.VSTACK($S$2:$S$5000,$U$2:$U$5000,$W$2:$W$5000)&lt;&gt;""))))</f>
        <v>No</v>
      </c>
    </row>
    <row r="3" spans="1:43" ht="28.8" x14ac:dyDescent="0.3">
      <c r="A3" s="4" t="s">
        <v>38</v>
      </c>
      <c r="B3" s="4" t="s">
        <v>35</v>
      </c>
      <c r="C3" s="4" t="s">
        <v>36</v>
      </c>
      <c r="D3" s="4" t="s">
        <v>23</v>
      </c>
      <c r="E3" s="2">
        <v>50</v>
      </c>
      <c r="F3" s="4">
        <v>18</v>
      </c>
      <c r="G3" s="4" t="s">
        <v>47</v>
      </c>
      <c r="H3" s="5"/>
      <c r="I3" s="2"/>
      <c r="J3" s="4"/>
      <c r="K3" s="4">
        <v>5.6</v>
      </c>
      <c r="L3" s="4" t="s">
        <v>24</v>
      </c>
      <c r="M3" s="4"/>
      <c r="N3" s="4"/>
      <c r="O3" s="4"/>
      <c r="P3" s="4" t="s">
        <v>25</v>
      </c>
      <c r="Q3" s="4" t="s">
        <v>31</v>
      </c>
      <c r="R3" s="4" t="s">
        <v>52</v>
      </c>
      <c r="S3" s="4" t="s">
        <v>27</v>
      </c>
      <c r="T3" s="4"/>
      <c r="U3" s="4"/>
      <c r="V3" s="4"/>
      <c r="W3" s="4"/>
      <c r="X3" s="4" t="s">
        <v>29</v>
      </c>
      <c r="Z3" t="s">
        <v>39</v>
      </c>
      <c r="AA3" t="str">
        <v>M16/45</v>
      </c>
      <c r="AC3">
        <v>0</v>
      </c>
      <c r="AD3" t="s">
        <v>45</v>
      </c>
      <c r="AE3" t="str">
        <v>BAY 2</v>
      </c>
      <c r="AF3" t="s">
        <v>67</v>
      </c>
      <c r="AG3" t="str">
        <v>OUT</v>
      </c>
      <c r="AH3" t="s">
        <v>30</v>
      </c>
      <c r="AI3" t="str">
        <v>Half</v>
      </c>
      <c r="AJ3">
        <v>10.9</v>
      </c>
      <c r="AK3">
        <v>6.8</v>
      </c>
      <c r="AM3">
        <v>0</v>
      </c>
      <c r="AN3" t="s">
        <v>31</v>
      </c>
      <c r="AO3" t="str">
        <v>New</v>
      </c>
      <c r="AP3" t="s">
        <v>27</v>
      </c>
      <c r="AQ3" t="str">
        <v>Yes</v>
      </c>
    </row>
    <row r="4" spans="1:43" x14ac:dyDescent="0.3">
      <c r="A4" s="4" t="s">
        <v>39</v>
      </c>
      <c r="B4" s="4" t="s">
        <v>35</v>
      </c>
      <c r="C4" s="4" t="s">
        <v>36</v>
      </c>
      <c r="D4" s="4" t="s">
        <v>23</v>
      </c>
      <c r="E4" s="2">
        <v>50</v>
      </c>
      <c r="F4" s="4">
        <v>18</v>
      </c>
      <c r="G4" s="4" t="s">
        <v>46</v>
      </c>
      <c r="H4" s="5"/>
      <c r="I4" s="2"/>
      <c r="J4" s="4"/>
      <c r="K4" s="4">
        <v>10.9</v>
      </c>
      <c r="L4" s="4" t="s">
        <v>24</v>
      </c>
      <c r="M4" s="4"/>
      <c r="N4" s="4"/>
      <c r="O4" s="4"/>
      <c r="P4" s="4" t="s">
        <v>25</v>
      </c>
      <c r="Q4" s="4" t="s">
        <v>31</v>
      </c>
      <c r="R4" s="4" t="s">
        <v>53</v>
      </c>
      <c r="S4" s="4" t="s">
        <v>27</v>
      </c>
      <c r="T4" s="4"/>
      <c r="U4" s="4"/>
      <c r="V4" s="4"/>
      <c r="W4" s="4"/>
      <c r="X4" s="4" t="s">
        <v>32</v>
      </c>
      <c r="Z4" t="s">
        <v>40</v>
      </c>
      <c r="AA4" t="str">
        <v>M20/100</v>
      </c>
      <c r="AE4">
        <v>0</v>
      </c>
      <c r="AG4">
        <v>0</v>
      </c>
      <c r="AI4">
        <v>0</v>
      </c>
      <c r="AJ4">
        <v>8.8000000000000007</v>
      </c>
      <c r="AK4">
        <v>8.8000000000000007</v>
      </c>
      <c r="AO4">
        <v>0</v>
      </c>
      <c r="AQ4">
        <v>0</v>
      </c>
    </row>
    <row r="5" spans="1:43" ht="28.8" x14ac:dyDescent="0.3">
      <c r="A5" s="4" t="s">
        <v>39</v>
      </c>
      <c r="B5" s="4" t="s">
        <v>35</v>
      </c>
      <c r="C5" s="4" t="s">
        <v>36</v>
      </c>
      <c r="D5" s="4" t="s">
        <v>23</v>
      </c>
      <c r="E5" s="2">
        <v>100</v>
      </c>
      <c r="F5" s="4">
        <v>19</v>
      </c>
      <c r="G5" s="4" t="s">
        <v>46</v>
      </c>
      <c r="H5" s="5"/>
      <c r="I5" s="2"/>
      <c r="J5" s="4"/>
      <c r="K5" s="4">
        <v>5.6</v>
      </c>
      <c r="L5" s="4" t="s">
        <v>24</v>
      </c>
      <c r="M5" s="4"/>
      <c r="N5" s="4"/>
      <c r="O5" s="4"/>
      <c r="P5" s="4" t="s">
        <v>25</v>
      </c>
      <c r="Q5" s="4" t="s">
        <v>26</v>
      </c>
      <c r="R5" s="4" t="s">
        <v>52</v>
      </c>
      <c r="S5" s="4" t="s">
        <v>27</v>
      </c>
      <c r="T5" s="4"/>
      <c r="U5" s="4"/>
      <c r="V5" s="4"/>
      <c r="W5" s="4"/>
      <c r="X5" s="4" t="s">
        <v>28</v>
      </c>
      <c r="Z5" t="s">
        <v>56</v>
      </c>
      <c r="AA5" t="str">
        <v>M20/100-B</v>
      </c>
      <c r="AJ5">
        <v>6.8</v>
      </c>
      <c r="AK5">
        <v>10.9</v>
      </c>
    </row>
    <row r="6" spans="1:43" ht="28.8" x14ac:dyDescent="0.3">
      <c r="A6" s="4" t="s">
        <v>40</v>
      </c>
      <c r="B6" s="4" t="s">
        <v>35</v>
      </c>
      <c r="C6" s="4" t="s">
        <v>36</v>
      </c>
      <c r="D6" s="4" t="s">
        <v>23</v>
      </c>
      <c r="E6" s="2">
        <v>50</v>
      </c>
      <c r="F6" s="4">
        <v>19</v>
      </c>
      <c r="G6" s="4" t="s">
        <v>46</v>
      </c>
      <c r="H6" s="5"/>
      <c r="I6" s="2"/>
      <c r="J6" s="4"/>
      <c r="K6" s="4">
        <v>10.9</v>
      </c>
      <c r="L6" s="4" t="s">
        <v>30</v>
      </c>
      <c r="M6" s="4"/>
      <c r="N6" s="4"/>
      <c r="O6" s="4"/>
      <c r="P6" s="4" t="s">
        <v>25</v>
      </c>
      <c r="Q6" s="4" t="s">
        <v>31</v>
      </c>
      <c r="R6" s="4"/>
      <c r="S6" s="4"/>
      <c r="T6" s="4"/>
      <c r="U6" s="4"/>
      <c r="V6" s="4"/>
      <c r="W6" s="4"/>
      <c r="X6" s="4" t="s">
        <v>33</v>
      </c>
      <c r="Z6" t="s">
        <v>42</v>
      </c>
      <c r="AA6" t="str">
        <v>M20/100-W</v>
      </c>
      <c r="AK6">
        <v>0</v>
      </c>
    </row>
    <row r="7" spans="1:43" ht="43.2" x14ac:dyDescent="0.3">
      <c r="A7" s="4" t="s">
        <v>56</v>
      </c>
      <c r="B7" s="4" t="s">
        <v>35</v>
      </c>
      <c r="C7" s="4" t="s">
        <v>36</v>
      </c>
      <c r="D7" s="4" t="s">
        <v>23</v>
      </c>
      <c r="E7" s="2">
        <v>100</v>
      </c>
      <c r="F7" s="4">
        <v>19</v>
      </c>
      <c r="G7" s="4" t="s">
        <v>48</v>
      </c>
      <c r="H7" s="5"/>
      <c r="I7" s="2"/>
      <c r="J7" s="4"/>
      <c r="K7" s="4">
        <v>5.6</v>
      </c>
      <c r="L7" s="4" t="s">
        <v>30</v>
      </c>
      <c r="M7" s="4"/>
      <c r="N7" s="4"/>
      <c r="O7" s="4"/>
      <c r="P7" s="4" t="s">
        <v>25</v>
      </c>
      <c r="Q7" s="4" t="s">
        <v>31</v>
      </c>
      <c r="R7" s="4"/>
      <c r="S7" s="4"/>
      <c r="T7" s="4"/>
      <c r="U7" s="4"/>
      <c r="V7" s="4"/>
      <c r="W7" s="4"/>
      <c r="X7" s="4" t="s">
        <v>34</v>
      </c>
      <c r="Z7" t="s">
        <v>43</v>
      </c>
      <c r="AA7" t="str">
        <v>M20/70</v>
      </c>
    </row>
    <row r="8" spans="1:43" x14ac:dyDescent="0.3">
      <c r="A8" s="4" t="s">
        <v>42</v>
      </c>
      <c r="B8" s="4" t="s">
        <v>35</v>
      </c>
      <c r="C8" s="4" t="s">
        <v>45</v>
      </c>
      <c r="D8" s="4" t="s">
        <v>23</v>
      </c>
      <c r="E8" s="2">
        <v>300</v>
      </c>
      <c r="F8" s="4">
        <v>20</v>
      </c>
      <c r="G8" s="4" t="s">
        <v>46</v>
      </c>
      <c r="K8" s="4">
        <v>5.6</v>
      </c>
      <c r="L8" s="4" t="s">
        <v>24</v>
      </c>
      <c r="P8" s="4" t="s">
        <v>25</v>
      </c>
      <c r="Q8" s="4" t="s">
        <v>31</v>
      </c>
      <c r="R8" s="4" t="s">
        <v>54</v>
      </c>
      <c r="S8" s="4" t="s">
        <v>27</v>
      </c>
      <c r="Z8" t="s">
        <v>44</v>
      </c>
      <c r="AA8" t="str">
        <v>M20/75</v>
      </c>
    </row>
    <row r="9" spans="1:43" x14ac:dyDescent="0.3">
      <c r="A9" s="4" t="s">
        <v>43</v>
      </c>
      <c r="B9" s="4" t="s">
        <v>35</v>
      </c>
      <c r="C9" s="4" t="s">
        <v>45</v>
      </c>
      <c r="D9" s="4" t="s">
        <v>23</v>
      </c>
      <c r="E9" s="2">
        <v>50</v>
      </c>
      <c r="F9" s="4">
        <v>20</v>
      </c>
      <c r="G9" s="4" t="s">
        <v>46</v>
      </c>
      <c r="K9" s="4">
        <v>5.6</v>
      </c>
      <c r="L9" s="4" t="s">
        <v>24</v>
      </c>
      <c r="P9" s="4" t="s">
        <v>25</v>
      </c>
      <c r="Q9" s="4" t="s">
        <v>31</v>
      </c>
      <c r="R9" s="4" t="s">
        <v>54</v>
      </c>
      <c r="S9" s="4" t="s">
        <v>27</v>
      </c>
      <c r="Z9" t="s">
        <v>57</v>
      </c>
      <c r="AA9" t="str">
        <v>M20/85</v>
      </c>
    </row>
    <row r="10" spans="1:43" x14ac:dyDescent="0.3">
      <c r="A10" s="4" t="s">
        <v>44</v>
      </c>
      <c r="B10" s="4" t="s">
        <v>35</v>
      </c>
      <c r="C10" s="4" t="s">
        <v>45</v>
      </c>
      <c r="D10" s="4" t="s">
        <v>23</v>
      </c>
      <c r="E10" s="2">
        <v>300</v>
      </c>
      <c r="F10" s="4">
        <v>20</v>
      </c>
      <c r="G10" s="4" t="s">
        <v>46</v>
      </c>
      <c r="K10" s="4">
        <v>5.6</v>
      </c>
      <c r="L10" s="4" t="s">
        <v>24</v>
      </c>
      <c r="P10" s="4" t="s">
        <v>25</v>
      </c>
      <c r="Q10" s="4" t="s">
        <v>31</v>
      </c>
      <c r="R10" s="4" t="s">
        <v>51</v>
      </c>
      <c r="S10" s="4" t="s">
        <v>27</v>
      </c>
      <c r="Z10" t="s">
        <v>41</v>
      </c>
      <c r="AA10" t="str">
        <v>M24/120</v>
      </c>
    </row>
    <row r="11" spans="1:43" x14ac:dyDescent="0.3">
      <c r="A11" s="4" t="s">
        <v>57</v>
      </c>
      <c r="B11" s="4" t="s">
        <v>35</v>
      </c>
      <c r="C11" s="4" t="s">
        <v>45</v>
      </c>
      <c r="D11" s="4" t="s">
        <v>23</v>
      </c>
      <c r="E11" s="2">
        <v>100</v>
      </c>
      <c r="F11" s="4">
        <v>21</v>
      </c>
      <c r="G11" s="4" t="s">
        <v>46</v>
      </c>
      <c r="K11" s="4"/>
      <c r="L11" s="4"/>
      <c r="M11">
        <v>16</v>
      </c>
      <c r="N11">
        <v>24</v>
      </c>
      <c r="O11">
        <v>2</v>
      </c>
      <c r="P11" s="4" t="s">
        <v>25</v>
      </c>
      <c r="Q11" s="4" t="s">
        <v>31</v>
      </c>
      <c r="R11" s="4"/>
      <c r="S11" s="4"/>
      <c r="AA11" t="str">
        <v>M24/85</v>
      </c>
    </row>
    <row r="12" spans="1:43" x14ac:dyDescent="0.3">
      <c r="A12" s="4" t="s">
        <v>42</v>
      </c>
      <c r="B12" s="4" t="s">
        <v>35</v>
      </c>
      <c r="C12" s="4" t="s">
        <v>45</v>
      </c>
      <c r="D12" s="4" t="s">
        <v>23</v>
      </c>
      <c r="E12" s="2">
        <v>150</v>
      </c>
      <c r="F12" s="4">
        <v>21</v>
      </c>
      <c r="G12" s="4" t="s">
        <v>46</v>
      </c>
      <c r="K12" s="4">
        <v>6.8</v>
      </c>
      <c r="L12" s="4" t="s">
        <v>24</v>
      </c>
      <c r="P12" s="4" t="s">
        <v>25</v>
      </c>
      <c r="Q12" s="4" t="s">
        <v>31</v>
      </c>
      <c r="R12" s="4" t="s">
        <v>55</v>
      </c>
      <c r="S12" s="4" t="s">
        <v>27</v>
      </c>
      <c r="AA12" t="str">
        <v>M24-PW</v>
      </c>
    </row>
    <row r="13" spans="1:43" x14ac:dyDescent="0.3">
      <c r="A13" s="4" t="s">
        <v>43</v>
      </c>
      <c r="B13" s="4" t="s">
        <v>35</v>
      </c>
      <c r="C13" s="4" t="s">
        <v>45</v>
      </c>
      <c r="D13" s="4" t="s">
        <v>23</v>
      </c>
      <c r="E13" s="2">
        <v>350</v>
      </c>
      <c r="F13" s="4">
        <v>21</v>
      </c>
      <c r="G13" s="4" t="s">
        <v>46</v>
      </c>
      <c r="K13" s="4">
        <v>8.8000000000000007</v>
      </c>
      <c r="L13" s="4" t="s">
        <v>24</v>
      </c>
      <c r="P13" s="4" t="s">
        <v>25</v>
      </c>
      <c r="Q13" s="4" t="s">
        <v>31</v>
      </c>
      <c r="R13" s="4" t="s">
        <v>54</v>
      </c>
      <c r="S13" s="4" t="s">
        <v>27</v>
      </c>
      <c r="AA13">
        <v>0</v>
      </c>
    </row>
    <row r="14" spans="1:43" x14ac:dyDescent="0.3">
      <c r="A14" s="4" t="s">
        <v>41</v>
      </c>
      <c r="B14" s="4" t="s">
        <v>35</v>
      </c>
      <c r="C14" s="4" t="s">
        <v>45</v>
      </c>
      <c r="D14" s="4" t="s">
        <v>23</v>
      </c>
      <c r="E14" s="2">
        <v>50</v>
      </c>
      <c r="F14" s="4">
        <v>21</v>
      </c>
      <c r="G14" s="4" t="s">
        <v>49</v>
      </c>
      <c r="K14">
        <v>5.6</v>
      </c>
      <c r="L14" s="4" t="s">
        <v>50</v>
      </c>
      <c r="P14" s="4" t="s">
        <v>25</v>
      </c>
      <c r="Q14" s="4" t="s">
        <v>31</v>
      </c>
      <c r="R14" s="4"/>
      <c r="S14" s="4"/>
    </row>
    <row r="15" spans="1:43" x14ac:dyDescent="0.3">
      <c r="A15" s="4" t="s">
        <v>59</v>
      </c>
    </row>
    <row r="16" spans="1:43" x14ac:dyDescent="0.3">
      <c r="A16" s="4" t="s">
        <v>60</v>
      </c>
      <c r="C16" s="4"/>
    </row>
    <row r="17" spans="1:1" x14ac:dyDescent="0.3">
      <c r="A17" t="s">
        <v>60</v>
      </c>
    </row>
    <row r="18" spans="1:1" x14ac:dyDescent="0.3">
      <c r="A18" s="4"/>
    </row>
  </sheetData>
  <phoneticPr fontId="2" type="noConversion"/>
  <dataValidations xWindow="903" yWindow="919" count="11">
    <dataValidation type="list" errorStyle="warning" allowBlank="1" showInputMessage="1" showErrorMessage="1" errorTitle="New SKU" error="This value is not in the current list. Choose Yes to keep it, and it will appear in future dropdown choices." promptTitle="SKU entry" prompt="Pick from the list or type a new SKU." sqref="A2:A1048576" xr:uid="{B74734AA-786E-47FD-B39B-7A025807F431}">
      <formula1>OFFSET($AA$2,0,0,MAX(1,COUNTA($AA:$AA)-1),1)</formula1>
    </dataValidation>
    <dataValidation type="list" errorStyle="warning" allowBlank="1" showInputMessage="1" showErrorMessage="1" errorTitle="New value" error="This value is not in the current list. Choose Yes to keep it, and it will appear in future dropdown choices." promptTitle="Warehouse entry" prompt="Pick from the list or type a new value." sqref="B2:B1048576" xr:uid="{4E307AD7-14C6-4D53-AB56-1E646C83AFC9}">
      <formula1>OFFSET($AC$2,0,0,MAX(1,COUNTA($AC:$AC)-1),1)</formula1>
    </dataValidation>
    <dataValidation type="list" errorStyle="warning" allowBlank="1" showInputMessage="1" showErrorMessage="1" errorTitle="New value" error="This value is not in the current list. Choose Yes to keep it, and it will appear in future dropdown choices." promptTitle="Location entry" prompt="Pick from the list or type a new value." sqref="C2:C1048576" xr:uid="{B3457A91-21E7-4BAA-9BA0-8DDD9FE2F8A4}">
      <formula1>OFFSET($AE$2,0,0,MAX(1,COUNTA($AE:$AE)-1),1)</formula1>
    </dataValidation>
    <dataValidation type="list" errorStyle="warning" allowBlank="1" showInputMessage="1" showErrorMessage="1" errorTitle="New value" error="This value is not in the current list. Choose Yes to keep it, and it will appear in future dropdown choices." promptTitle="Type entry" prompt="Pick from the list or type a new value." sqref="D2:D1048576" xr:uid="{1DCB71D4-B89E-4442-AEEC-1C03B7A95073}">
      <formula1>OFFSET($AG$2,0,0,MAX(1,COUNTA($AG:$AG)-1),1)</formula1>
    </dataValidation>
    <dataValidation type="list" errorStyle="warning" allowBlank="1" showInputMessage="1" showErrorMessage="1" errorTitle="New value" error="This value is not in the current list. Choose Yes to keep it, and it will appear in future dropdown choices." promptTitle="Grade entry" prompt="Pick from the list or type a new value." sqref="K2:K1048576" xr:uid="{7AEA542E-9299-4165-A284-EFF7E7235136}">
      <formula1>OFFSET($AK$2,0,0,MAX(1,COUNTA($AK:$AK)-1),1)</formula1>
    </dataValidation>
    <dataValidation type="list" errorStyle="warning" allowBlank="1" showInputMessage="1" showErrorMessage="1" errorTitle="New value" error="This value is not in the current list. Choose Yes to keep it, and it will appear in future dropdown choices." promptTitle="Thread entry" prompt="Pick from the list or type a new value." sqref="L2:L1048576" xr:uid="{52C121F4-3DD1-4798-B399-06D72EDF8EA6}">
      <formula1>OFFSET($AI$2,0,0,MAX(1,COUNTA($AI:$AI)-1),1)</formula1>
    </dataValidation>
    <dataValidation type="list" errorStyle="warning" allowBlank="1" showInputMessage="1" showErrorMessage="1" errorTitle="New value" error="This value is not in the current list. Choose Yes to keep it, and it will appear in future dropdown choices." promptTitle="Finish entry" prompt="Pick from the list or type a new value." sqref="P2:P1048576" xr:uid="{E4BD075C-D04A-45C6-8BAD-ABFCB463BC1C}">
      <formula1>OFFSET($AM$2,0,0,MAX(1,COUNTA($AM:$AM)-1),1)</formula1>
    </dataValidation>
    <dataValidation type="list" errorStyle="warning" allowBlank="1" showInputMessage="1" showErrorMessage="1" errorTitle="New value" error="This value is not in the current list. Choose Yes to keep it, and it will appear in future dropdown choices." promptTitle="Category entry" prompt="Pick from the list or type a new value." sqref="Q2:Q1048576" xr:uid="{0DCCC533-A9A6-4D68-83B8-8542664196AA}">
      <formula1>OFFSET($AO$2,0,0,MAX(1,COUNTA($AO:$AO)-1),1)</formula1>
    </dataValidation>
    <dataValidation type="list" errorStyle="warning" allowBlank="1" showInputMessage="1" showErrorMessage="1" errorTitle="New value" error="This value is not in the current list. Choose Yes to keep it, and it will appear in future dropdown choices." promptTitle="Hide Spec entry" prompt="Pick from the list or type a new value." sqref="S2:S1048576" xr:uid="{991A0037-F5C0-4789-A898-54E28AC2A980}">
      <formula1>OFFSET($AQ$2,0,0,MAX(1,COUNTA($AQ:$AQ)-1),1)</formula1>
    </dataValidation>
    <dataValidation type="list" errorStyle="warning" allowBlank="1" showInputMessage="1" showErrorMessage="1" errorTitle="New value" error="This value is not in the current list. Choose Yes to keep it, and it will appear in future dropdown choices." promptTitle="Hide Spec entry" prompt="Pick from the list or type a new value." sqref="U2:U1048576" xr:uid="{1D3EF930-1450-4EDB-A961-98FA7017745B}">
      <formula1>OFFSET($AQ$2,0,0,MAX(1,COUNTA($AQ:$AQ)-1),1)</formula1>
    </dataValidation>
    <dataValidation type="list" errorStyle="warning" allowBlank="1" showInputMessage="1" showErrorMessage="1" errorTitle="New value" error="This value is not in the current list. Choose Yes to keep it, and it will appear in future dropdown choices." promptTitle="Hide Spec entry" prompt="Pick from the list or type a new value." sqref="W2:W1048576" xr:uid="{45B47C33-32E7-44F9-AB4C-B6D333BAF61E}">
      <formula1>OFFSET($AQ$2,0,0,MAX(1,COUNTA($AQ:$AQ)-1),1)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Amiruddeen K</dc:creator>
  <cp:lastModifiedBy>Vivin Anand</cp:lastModifiedBy>
  <dcterms:created xsi:type="dcterms:W3CDTF">2026-08-03T13:58:03Z</dcterms:created>
  <dcterms:modified xsi:type="dcterms:W3CDTF">2026-08-06T19:57:30Z</dcterms:modified>
</cp:coreProperties>
</file>